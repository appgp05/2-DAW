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lberto\Documents\GitHub\2-DAW\Proyecto Intermodular\"/>
    </mc:Choice>
  </mc:AlternateContent>
  <bookViews>
    <workbookView xWindow="0" yWindow="0" windowWidth="16200" windowHeight="2481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1" l="1"/>
  <c r="E5" i="1"/>
  <c r="E4" i="1"/>
  <c r="E3" i="1"/>
  <c r="F5" i="1"/>
  <c r="F6" i="1"/>
  <c r="L6" i="1"/>
  <c r="Q7" i="1"/>
  <c r="Q4" i="1"/>
  <c r="Q5" i="1"/>
  <c r="Q6" i="1"/>
  <c r="P4" i="1"/>
  <c r="P5" i="1"/>
  <c r="P6" i="1"/>
  <c r="P3" i="1"/>
  <c r="Q3" i="1"/>
  <c r="L4" i="1" l="1"/>
  <c r="L5" i="1"/>
  <c r="L3" i="1"/>
  <c r="C14" i="1"/>
  <c r="F4" i="1" s="1"/>
  <c r="F3" i="1" l="1"/>
  <c r="F7" i="1" s="1"/>
</calcChain>
</file>

<file path=xl/sharedStrings.xml><?xml version="1.0" encoding="utf-8"?>
<sst xmlns="http://schemas.openxmlformats.org/spreadsheetml/2006/main" count="42" uniqueCount="30">
  <si>
    <t>Concepto</t>
  </si>
  <si>
    <t>Precio/unidad</t>
  </si>
  <si>
    <t>Unidades</t>
  </si>
  <si>
    <t>Total</t>
  </si>
  <si>
    <t>Material</t>
  </si>
  <si>
    <t>Licencias</t>
  </si>
  <si>
    <t>Personal</t>
  </si>
  <si>
    <t>Ordenador</t>
  </si>
  <si>
    <t>AWS S3</t>
  </si>
  <si>
    <t>AWS EC2</t>
  </si>
  <si>
    <t>AWS RDS</t>
  </si>
  <si>
    <t>Capacidad de uso / h</t>
  </si>
  <si>
    <t>Necesidad de uso / h</t>
  </si>
  <si>
    <t>Meses</t>
  </si>
  <si>
    <t>Horas/día</t>
  </si>
  <si>
    <t>Total horas</t>
  </si>
  <si>
    <t>Precio/unidad/mes</t>
  </si>
  <si>
    <t>Meses de uso</t>
  </si>
  <si>
    <t>Programador</t>
  </si>
  <si>
    <t>Arquitecto</t>
  </si>
  <si>
    <t>Analista</t>
  </si>
  <si>
    <t>Diseñador</t>
  </si>
  <si>
    <t>Rol</t>
  </si>
  <si>
    <t>Pago/hora</t>
  </si>
  <si>
    <t>Horas</t>
  </si>
  <si>
    <t>Tiempo trabajo Estimado</t>
  </si>
  <si>
    <t>Porcentaje</t>
  </si>
  <si>
    <t>Teclado</t>
  </si>
  <si>
    <t>Ratón</t>
  </si>
  <si>
    <t>Pantalla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</si>
</sst>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6" formatCode="#,##0\ &quot;€&quot;;[Red]\-#,##0\ &quot;€&quot;"/>
    <numFmt numFmtId="8" formatCode="#,##0.00\ &quot;€&quot;;[Red]\-#,##0.00\ &quot;€&quot;"/>
    <numFmt numFmtId="164" formatCode="#,##0.00\ &quot;€&quot;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theme="4"/>
      </left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164" fontId="0" fillId="0" borderId="1" xfId="0" applyNumberFormat="1" applyBorder="1"/>
    <xf numFmtId="0" fontId="0" fillId="3" borderId="2" xfId="0" applyFill="1" applyBorder="1"/>
    <xf numFmtId="6" fontId="0" fillId="3" borderId="3" xfId="0" applyNumberFormat="1" applyFill="1" applyBorder="1"/>
    <xf numFmtId="1" fontId="0" fillId="3" borderId="3" xfId="0" applyNumberFormat="1" applyFill="1" applyBorder="1"/>
    <xf numFmtId="3" fontId="0" fillId="3" borderId="3" xfId="0" applyNumberFormat="1" applyFill="1" applyBorder="1"/>
    <xf numFmtId="0" fontId="0" fillId="3" borderId="3" xfId="0" applyFill="1" applyBorder="1"/>
    <xf numFmtId="8" fontId="0" fillId="3" borderId="4" xfId="0" applyNumberFormat="1" applyFill="1" applyBorder="1"/>
    <xf numFmtId="0" fontId="0" fillId="3" borderId="2" xfId="0" applyFill="1" applyBorder="1" applyAlignment="1">
      <alignment wrapText="1"/>
    </xf>
    <xf numFmtId="164" fontId="0" fillId="3" borderId="3" xfId="0" applyNumberFormat="1" applyFill="1" applyBorder="1"/>
    <xf numFmtId="8" fontId="0" fillId="3" borderId="3" xfId="0" applyNumberFormat="1" applyFill="1" applyBorder="1"/>
    <xf numFmtId="164" fontId="0" fillId="3" borderId="4" xfId="0" applyNumberFormat="1" applyFill="1" applyBorder="1"/>
    <xf numFmtId="164" fontId="0" fillId="0" borderId="5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tabSelected="1" workbookViewId="0">
      <selection activeCell="Q10" sqref="Q10"/>
    </sheetView>
  </sheetViews>
  <sheetFormatPr baseColWidth="10" defaultRowHeight="15" x14ac:dyDescent="0.25"/>
  <cols>
    <col min="1" max="1" width="10.5703125" bestFit="1" customWidth="1"/>
    <col min="2" max="2" width="13.5703125" bestFit="1" customWidth="1"/>
    <col min="3" max="3" width="9.28515625" bestFit="1" customWidth="1"/>
    <col min="4" max="4" width="16.42578125" bestFit="1" customWidth="1"/>
    <col min="5" max="5" width="16.7109375" bestFit="1" customWidth="1"/>
    <col min="6" max="6" width="12.42578125" customWidth="1"/>
    <col min="8" max="8" width="9.42578125" bestFit="1" customWidth="1"/>
    <col min="9" max="9" width="18.28515625" bestFit="1" customWidth="1"/>
    <col min="10" max="10" width="9.28515625" bestFit="1" customWidth="1"/>
    <col min="11" max="11" width="13" bestFit="1" customWidth="1"/>
    <col min="12" max="12" width="6" bestFit="1" customWidth="1"/>
  </cols>
  <sheetData>
    <row r="1" spans="1:17" x14ac:dyDescent="0.25">
      <c r="A1" s="2" t="s">
        <v>4</v>
      </c>
      <c r="B1" s="2"/>
      <c r="C1" s="2"/>
      <c r="D1" s="2"/>
      <c r="E1" s="2"/>
      <c r="F1" s="2"/>
      <c r="H1" s="2" t="s">
        <v>5</v>
      </c>
      <c r="I1" s="2"/>
      <c r="J1" s="2"/>
      <c r="K1" s="2"/>
      <c r="L1" s="2"/>
      <c r="N1" s="2" t="s">
        <v>6</v>
      </c>
      <c r="O1" s="2"/>
      <c r="P1" s="2"/>
      <c r="Q1" s="2"/>
    </row>
    <row r="2" spans="1:17" ht="15.75" thickBot="1" x14ac:dyDescent="0.3">
      <c r="A2" s="1" t="s">
        <v>0</v>
      </c>
      <c r="B2" s="1" t="s">
        <v>1</v>
      </c>
      <c r="C2" s="1" t="s">
        <v>2</v>
      </c>
      <c r="D2" s="1" t="s">
        <v>11</v>
      </c>
      <c r="E2" s="1" t="s">
        <v>12</v>
      </c>
      <c r="F2" s="1" t="s">
        <v>3</v>
      </c>
      <c r="H2" s="1" t="s">
        <v>0</v>
      </c>
      <c r="I2" s="1" t="s">
        <v>16</v>
      </c>
      <c r="J2" s="1" t="s">
        <v>2</v>
      </c>
      <c r="K2" s="1" t="s">
        <v>17</v>
      </c>
      <c r="L2" s="1" t="s">
        <v>3</v>
      </c>
      <c r="N2" s="1" t="s">
        <v>22</v>
      </c>
      <c r="O2" s="1" t="s">
        <v>23</v>
      </c>
      <c r="P2" s="1" t="s">
        <v>24</v>
      </c>
      <c r="Q2" s="1" t="s">
        <v>3</v>
      </c>
    </row>
    <row r="3" spans="1:17" ht="15.75" thickBot="1" x14ac:dyDescent="0.3">
      <c r="A3" s="7" t="s">
        <v>7</v>
      </c>
      <c r="B3" s="8">
        <v>1500</v>
      </c>
      <c r="C3" s="9">
        <v>1</v>
      </c>
      <c r="D3" s="10">
        <v>14600</v>
      </c>
      <c r="E3" s="11">
        <f>C$14</f>
        <v>540</v>
      </c>
      <c r="F3" s="12">
        <f>B3*C3/D3*E3</f>
        <v>55.479452054794514</v>
      </c>
      <c r="H3" s="7" t="s">
        <v>9</v>
      </c>
      <c r="I3" s="15">
        <v>0</v>
      </c>
      <c r="J3" s="11">
        <v>2</v>
      </c>
      <c r="K3" s="11">
        <v>6</v>
      </c>
      <c r="L3" s="12">
        <f>I3*J3*K3</f>
        <v>0</v>
      </c>
      <c r="N3" s="7" t="s">
        <v>18</v>
      </c>
      <c r="O3" s="14">
        <v>7.27</v>
      </c>
      <c r="P3" s="11">
        <f>$C$14/100*O13</f>
        <v>324</v>
      </c>
      <c r="Q3" s="16">
        <f>O3*P3</f>
        <v>2355.48</v>
      </c>
    </row>
    <row r="4" spans="1:17" ht="15.75" thickBot="1" x14ac:dyDescent="0.3">
      <c r="A4" s="13" t="s">
        <v>27</v>
      </c>
      <c r="B4" s="14">
        <v>100</v>
      </c>
      <c r="C4" s="9">
        <v>1</v>
      </c>
      <c r="D4" s="10">
        <v>14600</v>
      </c>
      <c r="E4" s="11">
        <f>C$14</f>
        <v>540</v>
      </c>
      <c r="F4" s="12">
        <f>B4*C4/D4*E4</f>
        <v>3.6986301369863011</v>
      </c>
      <c r="H4" s="7" t="s">
        <v>8</v>
      </c>
      <c r="I4" s="15">
        <v>0</v>
      </c>
      <c r="J4" s="11">
        <v>1</v>
      </c>
      <c r="K4" s="11">
        <v>6</v>
      </c>
      <c r="L4" s="12">
        <f t="shared" ref="L4:L5" si="0">I4*J4*K4</f>
        <v>0</v>
      </c>
      <c r="N4" s="7" t="s">
        <v>19</v>
      </c>
      <c r="O4" s="14">
        <v>7.27</v>
      </c>
      <c r="P4" s="11">
        <f t="shared" ref="P4:P6" si="1">$C$14/100*O14</f>
        <v>81</v>
      </c>
      <c r="Q4" s="16">
        <f t="shared" ref="Q4:Q6" si="2">O4*P4</f>
        <v>588.87</v>
      </c>
    </row>
    <row r="5" spans="1:17" ht="15.75" thickBot="1" x14ac:dyDescent="0.3">
      <c r="A5" s="7" t="s">
        <v>28</v>
      </c>
      <c r="B5" s="14">
        <v>50</v>
      </c>
      <c r="C5" s="11">
        <v>1</v>
      </c>
      <c r="D5" s="10">
        <v>14600</v>
      </c>
      <c r="E5" s="11">
        <f>C$14</f>
        <v>540</v>
      </c>
      <c r="F5" s="12">
        <f t="shared" ref="F5:F6" si="3">B5*C5/D5*E5</f>
        <v>1.8493150684931505</v>
      </c>
      <c r="H5" s="7" t="s">
        <v>10</v>
      </c>
      <c r="I5" s="15">
        <v>0</v>
      </c>
      <c r="J5" s="11">
        <v>1</v>
      </c>
      <c r="K5" s="11">
        <v>6</v>
      </c>
      <c r="L5" s="12">
        <f t="shared" si="0"/>
        <v>0</v>
      </c>
      <c r="N5" s="7" t="s">
        <v>20</v>
      </c>
      <c r="O5" s="14">
        <v>7.27</v>
      </c>
      <c r="P5" s="11">
        <f t="shared" si="1"/>
        <v>81</v>
      </c>
      <c r="Q5" s="16">
        <f t="shared" si="2"/>
        <v>588.87</v>
      </c>
    </row>
    <row r="6" spans="1:17" ht="15.75" thickBot="1" x14ac:dyDescent="0.3">
      <c r="A6" s="7" t="s">
        <v>29</v>
      </c>
      <c r="B6" s="14">
        <v>150</v>
      </c>
      <c r="C6" s="11">
        <v>1</v>
      </c>
      <c r="D6" s="10">
        <v>14600</v>
      </c>
      <c r="E6" s="11">
        <f>C$14</f>
        <v>540</v>
      </c>
      <c r="F6" s="12">
        <f t="shared" si="3"/>
        <v>5.5479452054794516</v>
      </c>
      <c r="K6" s="1" t="s">
        <v>3</v>
      </c>
      <c r="L6" s="6">
        <f>SUM(L3:L5)</f>
        <v>0</v>
      </c>
      <c r="N6" s="7" t="s">
        <v>21</v>
      </c>
      <c r="O6" s="14">
        <v>7.27</v>
      </c>
      <c r="P6" s="11">
        <f t="shared" si="1"/>
        <v>54</v>
      </c>
      <c r="Q6" s="16">
        <f t="shared" si="2"/>
        <v>392.58</v>
      </c>
    </row>
    <row r="7" spans="1:17" ht="15.75" thickBot="1" x14ac:dyDescent="0.3">
      <c r="E7" s="1" t="s">
        <v>3</v>
      </c>
      <c r="F7" s="17">
        <f>SUM(F3:F4)</f>
        <v>59.178082191780817</v>
      </c>
      <c r="P7" s="1" t="s">
        <v>3</v>
      </c>
      <c r="Q7" s="6">
        <f>SUM(Q3:Q6)</f>
        <v>3925.7999999999997</v>
      </c>
    </row>
    <row r="12" spans="1:17" ht="15.75" thickBot="1" x14ac:dyDescent="0.3">
      <c r="A12" s="2" t="s">
        <v>25</v>
      </c>
      <c r="B12" s="2"/>
      <c r="C12" s="2"/>
      <c r="N12" s="1" t="s">
        <v>22</v>
      </c>
      <c r="O12" s="1" t="s">
        <v>26</v>
      </c>
    </row>
    <row r="13" spans="1:17" ht="15.75" thickBot="1" x14ac:dyDescent="0.3">
      <c r="A13" s="1" t="s">
        <v>13</v>
      </c>
      <c r="B13" s="1" t="s">
        <v>14</v>
      </c>
      <c r="C13" s="1" t="s">
        <v>15</v>
      </c>
      <c r="N13" s="3" t="s">
        <v>18</v>
      </c>
      <c r="O13" s="5">
        <v>60</v>
      </c>
    </row>
    <row r="14" spans="1:17" ht="15.75" thickBot="1" x14ac:dyDescent="0.3">
      <c r="A14" s="3">
        <v>6</v>
      </c>
      <c r="B14" s="4">
        <v>3</v>
      </c>
      <c r="C14" s="5">
        <f>A14*30*B14</f>
        <v>540</v>
      </c>
      <c r="N14" s="3" t="s">
        <v>19</v>
      </c>
      <c r="O14" s="5">
        <v>15</v>
      </c>
    </row>
    <row r="15" spans="1:17" ht="15.75" thickBot="1" x14ac:dyDescent="0.3">
      <c r="N15" s="3" t="s">
        <v>20</v>
      </c>
      <c r="O15" s="5">
        <v>15</v>
      </c>
    </row>
    <row r="16" spans="1:17" ht="15.75" thickBot="1" x14ac:dyDescent="0.3">
      <c r="N16" s="3" t="s">
        <v>21</v>
      </c>
      <c r="O16" s="5">
        <v>10</v>
      </c>
    </row>
  </sheetData>
  <mergeCells count="4">
    <mergeCell ref="A1:F1"/>
    <mergeCell ref="H1:L1"/>
    <mergeCell ref="N1:Q1"/>
    <mergeCell ref="A12:C12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puig parellada</dc:creator>
  <cp:lastModifiedBy>alberto puig parellada</cp:lastModifiedBy>
  <dcterms:created xsi:type="dcterms:W3CDTF">2025-11-23T15:54:42Z</dcterms:created>
  <dcterms:modified xsi:type="dcterms:W3CDTF">2025-11-23T18:34:56Z</dcterms:modified>
</cp:coreProperties>
</file>