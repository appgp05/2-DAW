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6200" windowHeight="16440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" i="1"/>
  <c r="AH5" l="1"/>
  <c r="AH4"/>
  <c r="O4"/>
  <c r="O16"/>
  <c r="Q16" s="1"/>
  <c r="Q17" s="1"/>
  <c r="V5"/>
  <c r="X5" s="1"/>
  <c r="V6"/>
  <c r="X6" s="1"/>
  <c r="V7"/>
  <c r="X7" s="1"/>
  <c r="V8"/>
  <c r="X8" s="1"/>
  <c r="V9"/>
  <c r="X9" s="1"/>
  <c r="V10"/>
  <c r="X10" s="1"/>
  <c r="V11"/>
  <c r="X11" s="1"/>
  <c r="V4"/>
  <c r="X4" s="1"/>
  <c r="X12" l="1"/>
  <c r="O5"/>
  <c r="Q5" s="1"/>
  <c r="O6"/>
  <c r="Q6" s="1"/>
  <c r="Q4"/>
  <c r="Q7" l="1"/>
  <c r="AB8"/>
  <c r="AC8" s="1"/>
  <c r="AE8" s="1"/>
  <c r="AB9"/>
  <c r="AC9" s="1"/>
  <c r="AE9" s="1"/>
  <c r="F7"/>
  <c r="G7" s="1"/>
  <c r="I7" s="1"/>
  <c r="F5"/>
  <c r="G5" s="1"/>
  <c r="I5" s="1"/>
  <c r="F4"/>
  <c r="G4" s="1"/>
  <c r="I4" s="1"/>
  <c r="F6"/>
  <c r="G6" s="1"/>
  <c r="I6" s="1"/>
  <c r="AB5"/>
  <c r="AC5" s="1"/>
  <c r="AE5" s="1"/>
  <c r="AB6"/>
  <c r="AC6" s="1"/>
  <c r="AE6" s="1"/>
  <c r="AC4"/>
  <c r="AE4" s="1"/>
  <c r="AB7"/>
  <c r="AC7" s="1"/>
  <c r="AE7" s="1"/>
  <c r="AE10" l="1"/>
  <c r="AH6" s="1"/>
  <c r="I8"/>
  <c r="AH3" s="1"/>
  <c r="AH7" l="1"/>
</calcChain>
</file>

<file path=xl/sharedStrings.xml><?xml version="1.0" encoding="utf-8"?>
<sst xmlns="http://schemas.openxmlformats.org/spreadsheetml/2006/main" count="81" uniqueCount="46">
  <si>
    <t>Concepto</t>
  </si>
  <si>
    <t>Precio/unidad</t>
  </si>
  <si>
    <t>Unidades</t>
  </si>
  <si>
    <t>Total</t>
  </si>
  <si>
    <t>Licencias</t>
  </si>
  <si>
    <t>Personal</t>
  </si>
  <si>
    <t>Ordenador</t>
  </si>
  <si>
    <t>AWS S3</t>
  </si>
  <si>
    <t>AWS EC2</t>
  </si>
  <si>
    <t>AWS RDS</t>
  </si>
  <si>
    <t>Capacidad de uso / h</t>
  </si>
  <si>
    <t>Necesidad de uso / h</t>
  </si>
  <si>
    <t>Precio/unidad/mes</t>
  </si>
  <si>
    <t>Meses de uso</t>
  </si>
  <si>
    <t>Programador</t>
  </si>
  <si>
    <t>Arquitecto</t>
  </si>
  <si>
    <t>Analista</t>
  </si>
  <si>
    <t>Diseñador</t>
  </si>
  <si>
    <t>Rol</t>
  </si>
  <si>
    <t>Pago/hora</t>
  </si>
  <si>
    <t>Horas</t>
  </si>
  <si>
    <t>Porcentaje</t>
  </si>
  <si>
    <t>Teclado</t>
  </si>
  <si>
    <t>Ratón</t>
  </si>
  <si>
    <t>Pantalla</t>
  </si>
  <si>
    <t>QA / Tester</t>
  </si>
  <si>
    <t>Jefe de proyecto</t>
  </si>
  <si>
    <t>Dominio</t>
  </si>
  <si>
    <t>Github</t>
  </si>
  <si>
    <t>Visual Studio Code</t>
  </si>
  <si>
    <t>Paint.net</t>
  </si>
  <si>
    <t>Clipchamp</t>
  </si>
  <si>
    <t>Audacity</t>
  </si>
  <si>
    <t>Gimp</t>
  </si>
  <si>
    <t>Angular</t>
  </si>
  <si>
    <t>NestJS</t>
  </si>
  <si>
    <t>Total Neto</t>
  </si>
  <si>
    <t>Total Bruto</t>
  </si>
  <si>
    <t>Impuestos %</t>
  </si>
  <si>
    <t>Inpuestos %</t>
  </si>
  <si>
    <t>Infraestructura tecnológica Mensual</t>
  </si>
  <si>
    <t>Material Mensual</t>
  </si>
  <si>
    <t>Infraestructura tecnológica Anual</t>
  </si>
  <si>
    <t>Años de uso</t>
  </si>
  <si>
    <t>Precio/unidad/año</t>
  </si>
  <si>
    <t>Impuesto %</t>
  </si>
</sst>
</file>

<file path=xl/styles.xml><?xml version="1.0" encoding="utf-8"?>
<styleSheet xmlns="http://schemas.openxmlformats.org/spreadsheetml/2006/main">
  <numFmts count="3">
    <numFmt numFmtId="6" formatCode="#,##0\ &quot;€&quot;;[Red]\-#,##0\ &quot;€&quot;"/>
    <numFmt numFmtId="8" formatCode="#,##0.00\ &quot;€&quot;;[Red]\-#,##0.00\ &quot;€&quot;"/>
    <numFmt numFmtId="164" formatCode="#,##0.00\ &quot;€&quot;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6" fontId="0" fillId="3" borderId="2" xfId="0" applyNumberFormat="1" applyFill="1" applyBorder="1"/>
    <xf numFmtId="1" fontId="0" fillId="3" borderId="2" xfId="0" applyNumberFormat="1" applyFill="1" applyBorder="1"/>
    <xf numFmtId="3" fontId="0" fillId="3" borderId="2" xfId="0" applyNumberFormat="1" applyFill="1" applyBorder="1"/>
    <xf numFmtId="0" fontId="0" fillId="3" borderId="2" xfId="0" applyFill="1" applyBorder="1"/>
    <xf numFmtId="0" fontId="0" fillId="3" borderId="1" xfId="0" applyFill="1" applyBorder="1" applyAlignment="1">
      <alignment wrapText="1"/>
    </xf>
    <xf numFmtId="164" fontId="0" fillId="3" borderId="2" xfId="0" applyNumberFormat="1" applyFill="1" applyBorder="1"/>
    <xf numFmtId="8" fontId="0" fillId="3" borderId="2" xfId="0" applyNumberFormat="1" applyFill="1" applyBorder="1"/>
    <xf numFmtId="164" fontId="0" fillId="3" borderId="3" xfId="0" applyNumberFormat="1" applyFill="1" applyBorder="1"/>
    <xf numFmtId="164" fontId="0" fillId="0" borderId="4" xfId="0" applyNumberFormat="1" applyBorder="1"/>
    <xf numFmtId="8" fontId="0" fillId="0" borderId="3" xfId="0" applyNumberForma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64" fontId="0" fillId="0" borderId="2" xfId="0" applyNumberFormat="1" applyBorder="1"/>
    <xf numFmtId="164" fontId="0" fillId="0" borderId="3" xfId="0" applyNumberFormat="1" applyBorder="1"/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H19"/>
  <sheetViews>
    <sheetView tabSelected="1" zoomScale="85" zoomScaleNormal="85" workbookViewId="0">
      <selection activeCell="AG14" sqref="AG14"/>
    </sheetView>
  </sheetViews>
  <sheetFormatPr baseColWidth="10" defaultRowHeight="15"/>
  <cols>
    <col min="2" max="2" width="10.85546875" bestFit="1" customWidth="1"/>
    <col min="3" max="3" width="14.140625" bestFit="1" customWidth="1"/>
    <col min="4" max="4" width="11.5703125" bestFit="1" customWidth="1"/>
    <col min="5" max="5" width="20.7109375" bestFit="1" customWidth="1"/>
    <col min="6" max="6" width="20.85546875" bestFit="1" customWidth="1"/>
    <col min="7" max="7" width="10.7109375" bestFit="1" customWidth="1"/>
    <col min="8" max="8" width="12.85546875" bestFit="1" customWidth="1"/>
    <col min="9" max="9" width="11.28515625" bestFit="1" customWidth="1"/>
    <col min="11" max="11" width="9.5703125" bestFit="1" customWidth="1"/>
    <col min="12" max="12" width="19" bestFit="1" customWidth="1"/>
    <col min="13" max="13" width="10" bestFit="1" customWidth="1"/>
    <col min="14" max="14" width="13.85546875" bestFit="1" customWidth="1"/>
    <col min="15" max="15" width="10.7109375" bestFit="1" customWidth="1"/>
    <col min="16" max="16" width="12.42578125" bestFit="1" customWidth="1"/>
    <col min="17" max="17" width="11.28515625" bestFit="1" customWidth="1"/>
    <col min="19" max="19" width="18.5703125" bestFit="1" customWidth="1"/>
    <col min="20" max="20" width="14.140625" bestFit="1" customWidth="1"/>
    <col min="21" max="21" width="10" bestFit="1" customWidth="1"/>
    <col min="22" max="22" width="10.7109375" bestFit="1" customWidth="1"/>
    <col min="23" max="23" width="12.85546875" bestFit="1" customWidth="1"/>
    <col min="24" max="24" width="11.28515625" bestFit="1" customWidth="1"/>
    <col min="26" max="26" width="16" bestFit="1" customWidth="1"/>
    <col min="27" max="27" width="10.7109375" bestFit="1" customWidth="1"/>
    <col min="28" max="28" width="6.5703125" bestFit="1" customWidth="1"/>
    <col min="29" max="29" width="10.7109375" bestFit="1" customWidth="1"/>
    <col min="30" max="30" width="11.85546875" bestFit="1" customWidth="1"/>
    <col min="31" max="31" width="11.28515625" bestFit="1" customWidth="1"/>
    <col min="33" max="33" width="35.140625" bestFit="1" customWidth="1"/>
    <col min="34" max="34" width="12.28515625" customWidth="1"/>
  </cols>
  <sheetData>
    <row r="1" spans="2:34" ht="15.75" thickBot="1"/>
    <row r="2" spans="2:34" ht="15.75" thickBot="1">
      <c r="B2" s="22" t="s">
        <v>41</v>
      </c>
      <c r="C2" s="23"/>
      <c r="D2" s="23"/>
      <c r="E2" s="23"/>
      <c r="F2" s="23"/>
      <c r="G2" s="23"/>
      <c r="H2" s="23"/>
      <c r="I2" s="24"/>
      <c r="K2" s="22" t="s">
        <v>40</v>
      </c>
      <c r="L2" s="23"/>
      <c r="M2" s="23"/>
      <c r="N2" s="23"/>
      <c r="O2" s="23"/>
      <c r="P2" s="23"/>
      <c r="Q2" s="24"/>
      <c r="S2" s="22" t="s">
        <v>4</v>
      </c>
      <c r="T2" s="23"/>
      <c r="U2" s="23"/>
      <c r="V2" s="23"/>
      <c r="W2" s="23"/>
      <c r="X2" s="24"/>
      <c r="Z2" s="22" t="s">
        <v>5</v>
      </c>
      <c r="AA2" s="23"/>
      <c r="AB2" s="23"/>
      <c r="AC2" s="23"/>
      <c r="AD2" s="23"/>
      <c r="AE2" s="24"/>
      <c r="AG2" s="16" t="s">
        <v>0</v>
      </c>
      <c r="AH2" s="18" t="s">
        <v>3</v>
      </c>
    </row>
    <row r="3" spans="2:34" ht="15.75" thickBot="1">
      <c r="B3" s="16" t="s">
        <v>0</v>
      </c>
      <c r="C3" s="17" t="s">
        <v>1</v>
      </c>
      <c r="D3" s="17" t="s">
        <v>2</v>
      </c>
      <c r="E3" s="17" t="s">
        <v>10</v>
      </c>
      <c r="F3" s="17" t="s">
        <v>11</v>
      </c>
      <c r="G3" s="17" t="s">
        <v>36</v>
      </c>
      <c r="H3" s="17" t="s">
        <v>38</v>
      </c>
      <c r="I3" s="18" t="s">
        <v>37</v>
      </c>
      <c r="K3" s="16" t="s">
        <v>0</v>
      </c>
      <c r="L3" s="17" t="s">
        <v>12</v>
      </c>
      <c r="M3" s="17" t="s">
        <v>2</v>
      </c>
      <c r="N3" s="17" t="s">
        <v>13</v>
      </c>
      <c r="O3" s="17" t="s">
        <v>36</v>
      </c>
      <c r="P3" s="17" t="s">
        <v>39</v>
      </c>
      <c r="Q3" s="18" t="s">
        <v>37</v>
      </c>
      <c r="S3" s="16" t="s">
        <v>0</v>
      </c>
      <c r="T3" s="17" t="s">
        <v>1</v>
      </c>
      <c r="U3" s="17" t="s">
        <v>2</v>
      </c>
      <c r="V3" s="17" t="s">
        <v>36</v>
      </c>
      <c r="W3" s="17" t="s">
        <v>38</v>
      </c>
      <c r="X3" s="18" t="s">
        <v>37</v>
      </c>
      <c r="Z3" s="16" t="s">
        <v>0</v>
      </c>
      <c r="AA3" s="17" t="s">
        <v>19</v>
      </c>
      <c r="AB3" s="17" t="s">
        <v>20</v>
      </c>
      <c r="AC3" s="17" t="s">
        <v>36</v>
      </c>
      <c r="AD3" s="17" t="s">
        <v>45</v>
      </c>
      <c r="AE3" s="18" t="s">
        <v>37</v>
      </c>
      <c r="AG3" s="5" t="s">
        <v>41</v>
      </c>
      <c r="AH3" s="13">
        <f>I8</f>
        <v>68.332589285714292</v>
      </c>
    </row>
    <row r="4" spans="2:34" ht="15.75" thickBot="1">
      <c r="B4" s="5" t="s">
        <v>6</v>
      </c>
      <c r="C4" s="6">
        <v>1500</v>
      </c>
      <c r="D4" s="7">
        <v>1</v>
      </c>
      <c r="E4" s="8">
        <v>7000</v>
      </c>
      <c r="F4" s="9">
        <f>D$15</f>
        <v>230</v>
      </c>
      <c r="G4" s="12">
        <f>C4*D4/E4*F4</f>
        <v>49.285714285714285</v>
      </c>
      <c r="H4" s="3">
        <v>21</v>
      </c>
      <c r="I4" s="15">
        <f>G4+G4*H4/100</f>
        <v>59.635714285714286</v>
      </c>
      <c r="K4" s="5" t="s">
        <v>8</v>
      </c>
      <c r="L4" s="12">
        <v>10</v>
      </c>
      <c r="M4" s="9">
        <v>2</v>
      </c>
      <c r="N4" s="9">
        <v>6</v>
      </c>
      <c r="O4" s="12">
        <f>L4*M4*N4</f>
        <v>120</v>
      </c>
      <c r="P4" s="3">
        <v>21</v>
      </c>
      <c r="Q4" s="15">
        <f>O4+O4*P4/100</f>
        <v>145.19999999999999</v>
      </c>
      <c r="S4" s="2" t="s">
        <v>28</v>
      </c>
      <c r="T4" s="19">
        <v>0</v>
      </c>
      <c r="U4" s="3">
        <v>1</v>
      </c>
      <c r="V4" s="19">
        <f>T4*U4</f>
        <v>0</v>
      </c>
      <c r="W4" s="3">
        <v>0</v>
      </c>
      <c r="X4" s="20">
        <f>V4+V4*W4/100</f>
        <v>0</v>
      </c>
      <c r="Z4" s="5" t="s">
        <v>14</v>
      </c>
      <c r="AA4" s="11">
        <v>12</v>
      </c>
      <c r="AB4" s="9">
        <f>$D$15/100*AA14</f>
        <v>114.99999999999999</v>
      </c>
      <c r="AC4" s="11">
        <f>AA4*AB4</f>
        <v>1379.9999999999998</v>
      </c>
      <c r="AD4" s="3">
        <v>31</v>
      </c>
      <c r="AE4" s="20">
        <f>AC4+AC4*AD4/100</f>
        <v>1807.7999999999997</v>
      </c>
      <c r="AG4" s="5" t="s">
        <v>40</v>
      </c>
      <c r="AH4" s="13">
        <f>Q7</f>
        <v>268.62</v>
      </c>
    </row>
    <row r="5" spans="2:34" ht="15.75" thickBot="1">
      <c r="B5" s="10" t="s">
        <v>22</v>
      </c>
      <c r="C5" s="11">
        <v>100</v>
      </c>
      <c r="D5" s="7">
        <v>1</v>
      </c>
      <c r="E5" s="8">
        <v>8800</v>
      </c>
      <c r="F5" s="9">
        <f>D$15</f>
        <v>230</v>
      </c>
      <c r="G5" s="12">
        <f>C5*D5/E5*F5</f>
        <v>2.6136363636363638</v>
      </c>
      <c r="H5" s="3">
        <v>21</v>
      </c>
      <c r="I5" s="15">
        <f t="shared" ref="I5:I7" si="0">G5+G5*H5/100</f>
        <v>3.1625000000000001</v>
      </c>
      <c r="K5" s="5" t="s">
        <v>7</v>
      </c>
      <c r="L5" s="12">
        <v>2</v>
      </c>
      <c r="M5" s="9">
        <v>1</v>
      </c>
      <c r="N5" s="9">
        <v>6</v>
      </c>
      <c r="O5" s="12">
        <f t="shared" ref="O5:O6" si="1">L5*M5*N5</f>
        <v>12</v>
      </c>
      <c r="P5" s="3">
        <v>21</v>
      </c>
      <c r="Q5" s="15">
        <f t="shared" ref="Q5:Q6" si="2">O5+O5*P5/100</f>
        <v>14.52</v>
      </c>
      <c r="S5" s="2" t="s">
        <v>29</v>
      </c>
      <c r="T5" s="19">
        <v>0</v>
      </c>
      <c r="U5" s="3">
        <v>1</v>
      </c>
      <c r="V5" s="19">
        <f t="shared" ref="V5:V11" si="3">T5*U5</f>
        <v>0</v>
      </c>
      <c r="W5" s="3">
        <v>0</v>
      </c>
      <c r="X5" s="20">
        <f t="shared" ref="X5:X11" si="4">V5+V5*W5/100</f>
        <v>0</v>
      </c>
      <c r="Z5" s="5" t="s">
        <v>15</v>
      </c>
      <c r="AA5" s="11">
        <v>16</v>
      </c>
      <c r="AB5" s="9">
        <f t="shared" ref="AB5:AB9" si="5">$D$15/100*AA15</f>
        <v>34.5</v>
      </c>
      <c r="AC5" s="11">
        <f t="shared" ref="AC5:AC9" si="6">AA5*AB5</f>
        <v>552</v>
      </c>
      <c r="AD5" s="3">
        <v>31</v>
      </c>
      <c r="AE5" s="20">
        <f t="shared" ref="AE5:AE9" si="7">AC5+AC5*AD5/100</f>
        <v>723.12</v>
      </c>
      <c r="AG5" s="5" t="s">
        <v>4</v>
      </c>
      <c r="AH5" s="13">
        <f>X12</f>
        <v>0</v>
      </c>
    </row>
    <row r="6" spans="2:34" ht="15.75" thickBot="1">
      <c r="B6" s="5" t="s">
        <v>23</v>
      </c>
      <c r="C6" s="11">
        <v>50</v>
      </c>
      <c r="D6" s="9">
        <v>1</v>
      </c>
      <c r="E6" s="8">
        <v>8800</v>
      </c>
      <c r="F6" s="9">
        <f>D$15</f>
        <v>230</v>
      </c>
      <c r="G6" s="12">
        <f t="shared" ref="G6:G7" si="8">C6*D6/E6*F6</f>
        <v>1.3068181818181819</v>
      </c>
      <c r="H6" s="3">
        <v>21</v>
      </c>
      <c r="I6" s="15">
        <f t="shared" si="0"/>
        <v>1.58125</v>
      </c>
      <c r="K6" s="5" t="s">
        <v>9</v>
      </c>
      <c r="L6" s="12">
        <v>15</v>
      </c>
      <c r="M6" s="9">
        <v>1</v>
      </c>
      <c r="N6" s="9">
        <v>6</v>
      </c>
      <c r="O6" s="12">
        <f t="shared" si="1"/>
        <v>90</v>
      </c>
      <c r="P6" s="3">
        <v>21</v>
      </c>
      <c r="Q6" s="15">
        <f t="shared" si="2"/>
        <v>108.9</v>
      </c>
      <c r="S6" s="2" t="s">
        <v>30</v>
      </c>
      <c r="T6" s="19">
        <v>0</v>
      </c>
      <c r="U6" s="3">
        <v>1</v>
      </c>
      <c r="V6" s="19">
        <f t="shared" si="3"/>
        <v>0</v>
      </c>
      <c r="W6" s="3">
        <v>0</v>
      </c>
      <c r="X6" s="20">
        <f t="shared" si="4"/>
        <v>0</v>
      </c>
      <c r="Z6" s="5" t="s">
        <v>16</v>
      </c>
      <c r="AA6" s="11">
        <v>15</v>
      </c>
      <c r="AB6" s="9">
        <f t="shared" si="5"/>
        <v>23</v>
      </c>
      <c r="AC6" s="11">
        <f t="shared" si="6"/>
        <v>345</v>
      </c>
      <c r="AD6" s="3">
        <v>31</v>
      </c>
      <c r="AE6" s="20">
        <f t="shared" si="7"/>
        <v>451.95</v>
      </c>
      <c r="AG6" s="5" t="s">
        <v>5</v>
      </c>
      <c r="AH6" s="13">
        <f>AE10</f>
        <v>4188.07</v>
      </c>
    </row>
    <row r="7" spans="2:34" ht="15.75" thickBot="1">
      <c r="B7" s="5" t="s">
        <v>24</v>
      </c>
      <c r="C7" s="11">
        <v>150</v>
      </c>
      <c r="D7" s="9">
        <v>1</v>
      </c>
      <c r="E7" s="8">
        <v>10560</v>
      </c>
      <c r="F7" s="9">
        <f>D$15</f>
        <v>230</v>
      </c>
      <c r="G7" s="12">
        <f t="shared" si="8"/>
        <v>3.2670454545454546</v>
      </c>
      <c r="H7" s="3">
        <v>21</v>
      </c>
      <c r="I7" s="15">
        <f t="shared" si="0"/>
        <v>3.953125</v>
      </c>
      <c r="K7" s="21"/>
      <c r="L7" s="21"/>
      <c r="M7" s="21"/>
      <c r="N7" s="21"/>
      <c r="O7" s="21"/>
      <c r="P7" s="1" t="s">
        <v>3</v>
      </c>
      <c r="Q7" s="14">
        <f>SUM(Q4:Q6)</f>
        <v>268.62</v>
      </c>
      <c r="S7" s="2" t="s">
        <v>31</v>
      </c>
      <c r="T7" s="19">
        <v>0</v>
      </c>
      <c r="U7" s="3">
        <v>1</v>
      </c>
      <c r="V7" s="19">
        <f t="shared" si="3"/>
        <v>0</v>
      </c>
      <c r="W7" s="3">
        <v>0</v>
      </c>
      <c r="X7" s="20">
        <f t="shared" si="4"/>
        <v>0</v>
      </c>
      <c r="Z7" s="5" t="s">
        <v>17</v>
      </c>
      <c r="AA7" s="11">
        <v>15</v>
      </c>
      <c r="AB7" s="9">
        <f t="shared" si="5"/>
        <v>23</v>
      </c>
      <c r="AC7" s="11">
        <f t="shared" si="6"/>
        <v>345</v>
      </c>
      <c r="AD7" s="3">
        <v>31</v>
      </c>
      <c r="AE7" s="20">
        <f t="shared" si="7"/>
        <v>451.95</v>
      </c>
      <c r="AG7" s="16" t="s">
        <v>3</v>
      </c>
      <c r="AH7" s="20">
        <f>SUM(AH3:AH6)</f>
        <v>4525.0225892857143</v>
      </c>
    </row>
    <row r="8" spans="2:34" ht="15.75" thickBot="1">
      <c r="B8" s="21"/>
      <c r="C8" s="21"/>
      <c r="D8" s="21"/>
      <c r="E8" s="21"/>
      <c r="F8" s="21"/>
      <c r="G8" s="21"/>
      <c r="H8" s="1" t="s">
        <v>3</v>
      </c>
      <c r="I8" s="14">
        <f>SUM(I4:I7)</f>
        <v>68.332589285714292</v>
      </c>
      <c r="S8" s="2" t="s">
        <v>32</v>
      </c>
      <c r="T8" s="19">
        <v>0</v>
      </c>
      <c r="U8" s="3">
        <v>1</v>
      </c>
      <c r="V8" s="19">
        <f t="shared" si="3"/>
        <v>0</v>
      </c>
      <c r="W8" s="3">
        <v>0</v>
      </c>
      <c r="X8" s="20">
        <f t="shared" si="4"/>
        <v>0</v>
      </c>
      <c r="Z8" s="5" t="s">
        <v>25</v>
      </c>
      <c r="AA8" s="11">
        <v>14</v>
      </c>
      <c r="AB8" s="9">
        <f>$D$15/100*AA18</f>
        <v>23</v>
      </c>
      <c r="AC8" s="11">
        <f>AA8*AB8</f>
        <v>322</v>
      </c>
      <c r="AD8" s="3">
        <v>31</v>
      </c>
      <c r="AE8" s="20">
        <f t="shared" si="7"/>
        <v>421.82</v>
      </c>
    </row>
    <row r="9" spans="2:34" ht="15.75" thickBot="1">
      <c r="S9" s="2" t="s">
        <v>33</v>
      </c>
      <c r="T9" s="19">
        <v>0</v>
      </c>
      <c r="U9" s="3">
        <v>1</v>
      </c>
      <c r="V9" s="19">
        <f t="shared" si="3"/>
        <v>0</v>
      </c>
      <c r="W9" s="3">
        <v>0</v>
      </c>
      <c r="X9" s="20">
        <f t="shared" si="4"/>
        <v>0</v>
      </c>
      <c r="Z9" s="5" t="s">
        <v>26</v>
      </c>
      <c r="AA9" s="11">
        <v>22</v>
      </c>
      <c r="AB9" s="9">
        <f t="shared" si="5"/>
        <v>11.5</v>
      </c>
      <c r="AC9" s="11">
        <f t="shared" si="6"/>
        <v>253</v>
      </c>
      <c r="AD9" s="3">
        <v>31</v>
      </c>
      <c r="AE9" s="20">
        <f t="shared" si="7"/>
        <v>331.43</v>
      </c>
    </row>
    <row r="10" spans="2:34" ht="15.75" thickBot="1">
      <c r="S10" s="2" t="s">
        <v>34</v>
      </c>
      <c r="T10" s="19">
        <v>0</v>
      </c>
      <c r="U10" s="3">
        <v>1</v>
      </c>
      <c r="V10" s="19">
        <f t="shared" si="3"/>
        <v>0</v>
      </c>
      <c r="W10" s="3">
        <v>0</v>
      </c>
      <c r="X10" s="20">
        <f t="shared" si="4"/>
        <v>0</v>
      </c>
      <c r="Z10" s="21"/>
      <c r="AA10" s="21"/>
      <c r="AB10" s="21"/>
      <c r="AC10" s="21"/>
      <c r="AD10" s="1" t="s">
        <v>3</v>
      </c>
      <c r="AE10" s="14">
        <f>SUM(AE4:AE9)</f>
        <v>4188.07</v>
      </c>
    </row>
    <row r="11" spans="2:34" ht="15.75" thickBot="1">
      <c r="S11" s="2" t="s">
        <v>35</v>
      </c>
      <c r="T11" s="19">
        <v>0</v>
      </c>
      <c r="U11" s="3">
        <v>1</v>
      </c>
      <c r="V11" s="19">
        <f t="shared" si="3"/>
        <v>0</v>
      </c>
      <c r="W11" s="3">
        <v>0</v>
      </c>
      <c r="X11" s="20">
        <f t="shared" si="4"/>
        <v>0</v>
      </c>
    </row>
    <row r="12" spans="2:34" ht="15.75" thickBot="1">
      <c r="S12" s="21"/>
      <c r="T12" s="21"/>
      <c r="U12" s="21"/>
      <c r="V12" s="21"/>
      <c r="W12" s="1" t="s">
        <v>3</v>
      </c>
      <c r="X12" s="14">
        <f>SUM(X4:X11)</f>
        <v>0</v>
      </c>
    </row>
    <row r="13" spans="2:34" ht="15.75" thickBot="1">
      <c r="B13" s="25"/>
      <c r="C13" s="25"/>
      <c r="D13" s="25"/>
      <c r="Z13" s="16" t="s">
        <v>18</v>
      </c>
      <c r="AA13" s="18" t="s">
        <v>21</v>
      </c>
    </row>
    <row r="14" spans="2:34" ht="15.75" thickBot="1">
      <c r="B14" s="1"/>
      <c r="C14" s="1"/>
      <c r="D14" s="1"/>
      <c r="K14" s="22" t="s">
        <v>42</v>
      </c>
      <c r="L14" s="23"/>
      <c r="M14" s="23"/>
      <c r="N14" s="23"/>
      <c r="O14" s="23"/>
      <c r="P14" s="23"/>
      <c r="Q14" s="24"/>
      <c r="Z14" s="2" t="s">
        <v>14</v>
      </c>
      <c r="AA14" s="4">
        <v>50</v>
      </c>
    </row>
    <row r="15" spans="2:34" ht="15.75" thickBot="1">
      <c r="B15" s="2"/>
      <c r="C15" s="3"/>
      <c r="D15" s="4">
        <v>230</v>
      </c>
      <c r="K15" s="16" t="s">
        <v>0</v>
      </c>
      <c r="L15" s="17" t="s">
        <v>44</v>
      </c>
      <c r="M15" s="17" t="s">
        <v>2</v>
      </c>
      <c r="N15" s="17" t="s">
        <v>43</v>
      </c>
      <c r="O15" s="17" t="s">
        <v>36</v>
      </c>
      <c r="P15" s="17" t="s">
        <v>39</v>
      </c>
      <c r="Q15" s="18" t="s">
        <v>37</v>
      </c>
      <c r="Z15" s="2" t="s">
        <v>15</v>
      </c>
      <c r="AA15" s="4">
        <v>15</v>
      </c>
    </row>
    <row r="16" spans="2:34" ht="15.75" thickBot="1">
      <c r="K16" s="5" t="s">
        <v>27</v>
      </c>
      <c r="L16" s="12">
        <v>12</v>
      </c>
      <c r="M16" s="9">
        <v>1</v>
      </c>
      <c r="N16" s="9">
        <v>1</v>
      </c>
      <c r="O16" s="12">
        <f>L16*M16*N16</f>
        <v>12</v>
      </c>
      <c r="P16" s="3">
        <v>21</v>
      </c>
      <c r="Q16" s="15">
        <f>O16+O16*P16/100</f>
        <v>14.52</v>
      </c>
      <c r="Z16" s="2" t="s">
        <v>16</v>
      </c>
      <c r="AA16" s="4">
        <v>10</v>
      </c>
    </row>
    <row r="17" spans="11:27" ht="15.75" thickBot="1">
      <c r="K17" s="21"/>
      <c r="L17" s="21"/>
      <c r="M17" s="21"/>
      <c r="N17" s="21"/>
      <c r="O17" s="21"/>
      <c r="P17" s="1" t="s">
        <v>3</v>
      </c>
      <c r="Q17" s="14">
        <f>SUM(Q16)</f>
        <v>14.52</v>
      </c>
      <c r="Z17" s="2" t="s">
        <v>17</v>
      </c>
      <c r="AA17" s="4">
        <v>10</v>
      </c>
    </row>
    <row r="18" spans="11:27" ht="15.75" thickBot="1">
      <c r="Z18" s="2" t="s">
        <v>25</v>
      </c>
      <c r="AA18" s="4">
        <v>10</v>
      </c>
    </row>
    <row r="19" spans="11:27" ht="15.75" thickBot="1">
      <c r="Z19" s="2" t="s">
        <v>26</v>
      </c>
      <c r="AA19" s="4">
        <v>5</v>
      </c>
    </row>
  </sheetData>
  <mergeCells count="6">
    <mergeCell ref="K14:Q14"/>
    <mergeCell ref="S2:X2"/>
    <mergeCell ref="Z2:AE2"/>
    <mergeCell ref="B13:D13"/>
    <mergeCell ref="B2:I2"/>
    <mergeCell ref="K2:Q2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puig parellada</dc:creator>
  <cp:lastModifiedBy>Alumno</cp:lastModifiedBy>
  <dcterms:created xsi:type="dcterms:W3CDTF">2025-11-23T15:54:42Z</dcterms:created>
  <dcterms:modified xsi:type="dcterms:W3CDTF">2025-12-04T12:32:04Z</dcterms:modified>
</cp:coreProperties>
</file>